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hiag\OneDrive\Área de Trabalho\py\"/>
    </mc:Choice>
  </mc:AlternateContent>
  <xr:revisionPtr revIDLastSave="0" documentId="13_ncr:1_{5C75DB1E-6C01-4281-B241-3FE5E5C9886E}" xr6:coauthVersionLast="47" xr6:coauthVersionMax="47" xr10:uidLastSave="{00000000-0000-0000-0000-000000000000}"/>
  <bookViews>
    <workbookView xWindow="-108" yWindow="-108" windowWidth="23256" windowHeight="12456" xr2:uid="{A2709CD4-31DD-4F33-A88C-6C35EA666FF5}"/>
  </bookViews>
  <sheets>
    <sheet name="TRANSPORTE" sheetId="2" r:id="rId1"/>
    <sheet name="PREFEITURA" sheetId="3" r:id="rId2"/>
    <sheet name="PEDAGIO" sheetId="4" r:id="rId3"/>
  </sheets>
  <externalReferences>
    <externalReference r:id="rId4"/>
  </externalReferences>
  <definedNames>
    <definedName name="_xlnm._FilterDatabase" localSheetId="0" hidden="1">TRANSPORTE!#REF!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4" l="1"/>
  <c r="B1" i="4"/>
  <c r="C12" i="3"/>
  <c r="B12" i="3"/>
  <c r="C11" i="3"/>
  <c r="B11" i="3"/>
  <c r="C10" i="3"/>
  <c r="B10" i="3"/>
  <c r="C9" i="3"/>
  <c r="B9" i="3"/>
  <c r="C8" i="3"/>
  <c r="B8" i="3"/>
  <c r="C7" i="3"/>
  <c r="B7" i="3"/>
  <c r="C6" i="3"/>
  <c r="B6" i="3"/>
  <c r="C5" i="3"/>
  <c r="B5" i="3"/>
  <c r="C4" i="3"/>
  <c r="B4" i="3"/>
  <c r="C3" i="3"/>
  <c r="B3" i="3"/>
  <c r="C2" i="3"/>
  <c r="B2" i="3"/>
  <c r="C1" i="3"/>
  <c r="B1" i="3"/>
</calcChain>
</file>

<file path=xl/sharedStrings.xml><?xml version="1.0" encoding="utf-8"?>
<sst xmlns="http://schemas.openxmlformats.org/spreadsheetml/2006/main" count="17" uniqueCount="17">
  <si>
    <t>CLAUDIO DOMINGUES</t>
  </si>
  <si>
    <t>EDILSON EMIDIO BATISTA 36056553000103</t>
  </si>
  <si>
    <t>EDIVAN BATISTA DE QUEROZ 34832240000174</t>
  </si>
  <si>
    <t>GENECY ODON DE SOUZA 34934978000142</t>
  </si>
  <si>
    <t>JOSE CARLOS ALVES GUIMARAES 26297322000138</t>
  </si>
  <si>
    <t>JULIANA MARQUES HERCULANO</t>
  </si>
  <si>
    <t>LEANDRO MAGALHAES FELICIO 29317562884</t>
  </si>
  <si>
    <t>JEFERSON CERQUEIRA DOS SANTOS 31406429899</t>
  </si>
  <si>
    <t>VICTOR TOLENTINO RODRIGUES DOS SANTOS</t>
  </si>
  <si>
    <t>ALEXSANDRO DOMINGOS DA SILVA 22468396880</t>
  </si>
  <si>
    <t>GENILDO BARBOSA DE SANTANA 29761195899</t>
  </si>
  <si>
    <t>WELLINGTON DOS SANTOS BEZERRA LTDA</t>
  </si>
  <si>
    <t>STALLON JEFFERSON DA SILVA SANTOS</t>
  </si>
  <si>
    <t>CNPJ</t>
  </si>
  <si>
    <t>Senha</t>
  </si>
  <si>
    <t>Nome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</si>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</sst>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43" fontId="0" fillId="0" borderId="0" xfId="1" applyFont="1"/>
    <xf numFmtId="0" fontId="0" fillId="0" borderId="0" xfId="0" applyAlignment="1">
      <alignment horizontal="center"/>
    </xf>
    <xf numFmtId="43" fontId="0" fillId="0" borderId="0" xfId="1" applyFont="1" applyBorder="1"/>
    <xf numFmtId="0" fontId="2" fillId="0" borderId="0" xfId="2" applyAlignment="1">
      <alignment horizontal="center"/>
    </xf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P\Desktop\DESOUZACONTABILIDADE%20DADOS\001-%20DESOUZACONTABILIDADE\SERBOM\SEGUNDA%20QUINZENA%20DE%20JANEI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lha1"/>
      <sheetName val="Planilha2"/>
    </sheetNames>
    <sheetDataSet>
      <sheetData sheetId="0" refreshError="1"/>
      <sheetData sheetId="1">
        <row r="3">
          <cell r="A3" t="str">
            <v>ADILSON LOPES PEREIRA 16895462000154</v>
          </cell>
          <cell r="B3" t="str">
            <v>16.895.462/0001-54</v>
          </cell>
          <cell r="C3" t="str">
            <v>Ana150901#</v>
          </cell>
        </row>
        <row r="4">
          <cell r="A4" t="str">
            <v>ADRIANO  MAFFEI GONÇALVES</v>
          </cell>
          <cell r="B4" t="str">
            <v>053.610.918-47</v>
          </cell>
          <cell r="C4" t="str">
            <v>Mafei#1964</v>
          </cell>
        </row>
        <row r="5">
          <cell r="A5" t="str">
            <v>ALEX SANTOS DE SOUSA</v>
          </cell>
          <cell r="B5" t="str">
            <v>318.607.478-92</v>
          </cell>
          <cell r="C5" t="str">
            <v>Termino100422@23</v>
          </cell>
        </row>
        <row r="6">
          <cell r="A6" t="str">
            <v>ALEX SANTOS PEREIRA</v>
          </cell>
          <cell r="B6" t="str">
            <v>319.631.518-52</v>
          </cell>
          <cell r="C6" t="str">
            <v>211209Felipe@</v>
          </cell>
        </row>
        <row r="7">
          <cell r="A7" t="str">
            <v>ALEXSANDRO DOMINGOS DA SILVA 22468396880</v>
          </cell>
          <cell r="B7" t="str">
            <v>47.427.486/0001-02</v>
          </cell>
          <cell r="C7" t="str">
            <v>Alex47427486@</v>
          </cell>
        </row>
        <row r="8">
          <cell r="A8" t="str">
            <v>ANDERSON LIMA DE ALMEIDA</v>
          </cell>
          <cell r="B8" t="str">
            <v>440.716.938-94</v>
          </cell>
          <cell r="C8" t="str">
            <v>maeminharainha26A@</v>
          </cell>
        </row>
        <row r="9">
          <cell r="A9" t="str">
            <v>CARLOS EDUARDO DA SILVA</v>
          </cell>
          <cell r="B9" t="str">
            <v>25.012.724/0001-86</v>
          </cell>
          <cell r="C9" t="str">
            <v>Carlos311012</v>
          </cell>
        </row>
        <row r="10">
          <cell r="A10" t="str">
            <v>CLAUDIO DOMINGUES</v>
          </cell>
          <cell r="B10" t="str">
            <v>35.286.622/0001-02</v>
          </cell>
          <cell r="C10" t="str">
            <v>Claudio915881@</v>
          </cell>
        </row>
        <row r="11">
          <cell r="A11" t="str">
            <v>DANIEL LEANDRO DE OLIVEIRA36580005000188</v>
          </cell>
          <cell r="B11" t="str">
            <v>59.117.056/0001-73</v>
          </cell>
          <cell r="C11" t="str">
            <v>Guipridanimi23#</v>
          </cell>
        </row>
        <row r="12">
          <cell r="A12" t="str">
            <v>DIEGO DE SOUZA PEDREIRA</v>
          </cell>
          <cell r="B12" t="str">
            <v>390.735.618-76</v>
          </cell>
          <cell r="C12" t="str">
            <v>maepai11</v>
          </cell>
        </row>
        <row r="13">
          <cell r="A13" t="str">
            <v>DIORGENES MARCELO DA SILVA</v>
          </cell>
          <cell r="B13" t="str">
            <v xml:space="preserve"> 167.012.638-28</v>
          </cell>
          <cell r="C13" t="str">
            <v>078451Joao@</v>
          </cell>
        </row>
        <row r="14">
          <cell r="A14" t="str">
            <v>DOUGLAS FERNANDO DE PAULA 29401244855</v>
          </cell>
          <cell r="B14" t="str">
            <v>32.623.040/0001-86</v>
          </cell>
          <cell r="C14" t="str">
            <v>Douglas294012@</v>
          </cell>
        </row>
        <row r="15">
          <cell r="A15" t="str">
            <v>EDILSON EMIDIO BATISTA 36056553000103</v>
          </cell>
          <cell r="B15" t="str">
            <v>928.878.994-49</v>
          </cell>
          <cell r="C15" t="str">
            <v>Edilson928</v>
          </cell>
        </row>
        <row r="16">
          <cell r="A16" t="str">
            <v>EDIVAN BATISTA DE QUEROZ 34832240000174</v>
          </cell>
          <cell r="B16" t="str">
            <v>34.832.224/0001-74</v>
          </cell>
          <cell r="C16" t="str">
            <v>Edi34832240@</v>
          </cell>
        </row>
        <row r="17">
          <cell r="A17" t="str">
            <v>EDSON SANTIAGO SILVA 28075185838</v>
          </cell>
          <cell r="B17" t="str">
            <v>26.228.522/0001-39</v>
          </cell>
          <cell r="C17" t="str">
            <v>Edson280751@</v>
          </cell>
        </row>
        <row r="18">
          <cell r="A18" t="str">
            <v>ELIEZER FELIX TARRAO</v>
          </cell>
          <cell r="B18" t="str">
            <v>317.551.945-87</v>
          </cell>
          <cell r="C18" t="str">
            <v>E190561l@</v>
          </cell>
        </row>
        <row r="19">
          <cell r="A19" t="str">
            <v>ELIVAN MACEDO SANTANA</v>
          </cell>
          <cell r="B19" t="str">
            <v>43.788.362/0001-00</v>
          </cell>
          <cell r="C19" t="str">
            <v>Elivan279851@</v>
          </cell>
        </row>
        <row r="20">
          <cell r="A20" t="str">
            <v>EMERSON LEANDRO FREITAS DE GODOY</v>
          </cell>
          <cell r="B20" t="str">
            <v xml:space="preserve"> 228.414.578-77</v>
          </cell>
          <cell r="C20" t="str">
            <v xml:space="preserve"> Le@16172820</v>
          </cell>
        </row>
        <row r="21">
          <cell r="A21" t="str">
            <v>FABIO ADRIANO ROCHA 26776287830</v>
          </cell>
          <cell r="B21" t="str">
            <v>27.245.931/00001-06</v>
          </cell>
          <cell r="C21" t="str">
            <v>Fabio27245931</v>
          </cell>
        </row>
        <row r="22">
          <cell r="A22" t="str">
            <v>FABIO VIEIRA DOS SANTOS</v>
          </cell>
          <cell r="B22" t="str">
            <v>283.518.408-23</v>
          </cell>
          <cell r="C22" t="str">
            <v>@Fabio1979</v>
          </cell>
        </row>
        <row r="23">
          <cell r="A23" t="str">
            <v>FRANCISCO JUNIEL FERREIRA LIMA</v>
          </cell>
          <cell r="B23" t="str">
            <v>40.680.102/0001-10</v>
          </cell>
          <cell r="C23" t="str">
            <v>Francisco2012!</v>
          </cell>
        </row>
        <row r="24">
          <cell r="A24" t="str">
            <v>GENECY ODON DE SOUZA 34934978000142</v>
          </cell>
          <cell r="B24" t="str">
            <v>387.350.164-34</v>
          </cell>
          <cell r="C24" t="str">
            <v>091325Hhl*</v>
          </cell>
        </row>
        <row r="25">
          <cell r="A25" t="str">
            <v>GENILDO BARBOSA DE SANTANA 29761195899</v>
          </cell>
          <cell r="B25" t="str">
            <v>31.380.262/0001-52</v>
          </cell>
          <cell r="C25" t="str">
            <v>Genildo31380</v>
          </cell>
        </row>
        <row r="26">
          <cell r="A26" t="str">
            <v>GERALDO ALEXANDRE FERREIRA 29460262000110</v>
          </cell>
          <cell r="B26" t="str">
            <v>59.671.042/0001-34</v>
          </cell>
          <cell r="C26" t="str">
            <v>Rafaeumesmo1@</v>
          </cell>
        </row>
        <row r="27">
          <cell r="A27" t="str">
            <v>JAILSON FERREIRA DE LIRA</v>
          </cell>
          <cell r="B27" t="str">
            <v>49.045.916/0001-57</v>
          </cell>
          <cell r="C27" t="str">
            <v>Jailson49045916</v>
          </cell>
        </row>
        <row r="28">
          <cell r="A28" t="str">
            <v>JEFERSON CERQUEIRA DOS SANTOS 31406429899</v>
          </cell>
          <cell r="B28" t="str">
            <v>314.064.298-99</v>
          </cell>
          <cell r="C28" t="str">
            <v>3945F16s@</v>
          </cell>
        </row>
        <row r="29">
          <cell r="A29" t="str">
            <v>JOSE ALMEIDA DA COSTA NETO</v>
          </cell>
          <cell r="B29" t="str">
            <v xml:space="preserve"> </v>
          </cell>
          <cell r="C29" t="str">
            <v xml:space="preserve"> </v>
          </cell>
        </row>
        <row r="30">
          <cell r="A30" t="str">
            <v>JOSE CARLOS ALVES GUIMARAES 26297322000138</v>
          </cell>
          <cell r="B30" t="str">
            <v>26.297.322/0001-38</v>
          </cell>
          <cell r="C30" t="str">
            <v>Jose065784@</v>
          </cell>
        </row>
        <row r="31">
          <cell r="A31" t="str">
            <v>JULIANA MARQUES HERCULANO</v>
          </cell>
          <cell r="B31" t="str">
            <v>418.156.978-06</v>
          </cell>
          <cell r="C31" t="str">
            <v>Arlindo123#</v>
          </cell>
        </row>
        <row r="32">
          <cell r="A32" t="str">
            <v>LAERTE HENRIQUE SILVEIRA SANTOS 42270353846</v>
          </cell>
          <cell r="B32" t="str">
            <v>422.703.538-46</v>
          </cell>
          <cell r="C32" t="str">
            <v>L@erte99769980</v>
          </cell>
        </row>
        <row r="33">
          <cell r="A33" t="str">
            <v>LAVADAO TRANSPORTES</v>
          </cell>
          <cell r="B33" t="str">
            <v>28.908.665/0001-17</v>
          </cell>
          <cell r="C33" t="str">
            <v>Renato28908665</v>
          </cell>
        </row>
        <row r="34">
          <cell r="A34" t="str">
            <v>LEANDRO MAGALHAES FELICIO 29317562884</v>
          </cell>
          <cell r="B34" t="str">
            <v>32.258.189/0001-03</v>
          </cell>
          <cell r="C34" t="str">
            <v>Le@ndro7877</v>
          </cell>
        </row>
        <row r="35">
          <cell r="A35" t="str">
            <v>LUCICLEIDE NOGUEIRA DE LIMA</v>
          </cell>
          <cell r="B35" t="str">
            <v>33.080.975/0001-26</v>
          </cell>
          <cell r="C35" t="str">
            <v>Lu252158</v>
          </cell>
        </row>
        <row r="36">
          <cell r="A36" t="str">
            <v>LUIZ FERNANDO DE FREITAS 34184067000145</v>
          </cell>
          <cell r="B36" t="str">
            <v>34.184.067/0001-45</v>
          </cell>
          <cell r="C36" t="str">
            <v>Luiz306976</v>
          </cell>
        </row>
        <row r="37">
          <cell r="A37" t="str">
            <v>LUIZ KLEBER FEDEROVICZ 16544379808</v>
          </cell>
          <cell r="B37" t="str">
            <v>34.505.440/0001-12</v>
          </cell>
          <cell r="C37" t="str">
            <v>Luiz34505</v>
          </cell>
        </row>
        <row r="38">
          <cell r="A38" t="str">
            <v>MOACIR DE SOUZA</v>
          </cell>
          <cell r="B38" t="str">
            <v>49.280.627/0001-32</v>
          </cell>
          <cell r="C38" t="str">
            <v xml:space="preserve">Moacir550166@ </v>
          </cell>
        </row>
        <row r="39">
          <cell r="A39" t="str">
            <v>REGIA LUCIA DE LIMA PEREIRA</v>
          </cell>
          <cell r="B39" t="str">
            <v>085.892.638-51</v>
          </cell>
          <cell r="C39" t="str">
            <v>D22e08rik1997#</v>
          </cell>
        </row>
        <row r="40">
          <cell r="A40" t="str">
            <v>RICHARD DOS SANTOS CARVALHO</v>
          </cell>
          <cell r="B40" t="str">
            <v>388.134.898-03</v>
          </cell>
          <cell r="C40" t="str">
            <v>Yasmin@23</v>
          </cell>
        </row>
        <row r="41">
          <cell r="A41" t="str">
            <v>STALLON JEFFERSON DA SILVA SANTOS</v>
          </cell>
          <cell r="B41" t="str">
            <v>59.479.449/0001-27</v>
          </cell>
          <cell r="C41" t="str">
            <v>Desouza2409@</v>
          </cell>
        </row>
        <row r="42">
          <cell r="A42" t="str">
            <v>TATIANE MATOS MARQUES</v>
          </cell>
          <cell r="B42" t="str">
            <v>54.264.185/0001-70</v>
          </cell>
          <cell r="C42" t="str">
            <v>Tatiane54264185</v>
          </cell>
        </row>
        <row r="43">
          <cell r="A43" t="str">
            <v>THIAGO FERREIRA DOS SANTOS 29341059000125</v>
          </cell>
          <cell r="B43" t="str">
            <v>304.083.598-03</v>
          </cell>
          <cell r="C43" t="str">
            <v>271182Gi.</v>
          </cell>
        </row>
        <row r="44">
          <cell r="A44" t="str">
            <v>VAGNER MINGUCCI FERREIRA 36105990000170</v>
          </cell>
          <cell r="B44" t="str">
            <v>36.105.990/0001-70</v>
          </cell>
          <cell r="C44" t="str">
            <v>Vagner309595@</v>
          </cell>
        </row>
        <row r="45">
          <cell r="A45" t="str">
            <v>VALDECIR APARECIDO REIMBERG DOS SANTOS</v>
          </cell>
          <cell r="B45" t="str">
            <v>36.329.672/0001-92</v>
          </cell>
          <cell r="C45" t="str">
            <v>Val400032</v>
          </cell>
        </row>
        <row r="46">
          <cell r="A46" t="str">
            <v>VANESSA LEANDRO LUCIO LOPES</v>
          </cell>
          <cell r="B46" t="str">
            <v>57.113.307/0001-16</v>
          </cell>
          <cell r="C46" t="str">
            <v>Fabio1975#</v>
          </cell>
        </row>
        <row r="47">
          <cell r="A47" t="str">
            <v>VICTOR TOLENTINO RODRIGUES DOS SANTOS</v>
          </cell>
          <cell r="B47" t="str">
            <v xml:space="preserve"> </v>
          </cell>
          <cell r="C47" t="str">
            <v xml:space="preserve"> </v>
          </cell>
        </row>
        <row r="48">
          <cell r="A48" t="str">
            <v>WELLINGTON DOS SANTOS BEZERRA LTDA</v>
          </cell>
          <cell r="B48" t="str">
            <v>32.506.130/0001-97</v>
          </cell>
          <cell r="C48" t="str">
            <v>Wellington@123</v>
          </cell>
        </row>
        <row r="49">
          <cell r="A49" t="str">
            <v>WELTON PEREIRA DA SILVA</v>
          </cell>
          <cell r="B49" t="str">
            <v>31.271.902/0001-96</v>
          </cell>
          <cell r="C49" t="str">
            <v>Welton31271@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24DC-8B66-40B3-B901-1143D5AFE27E}">
  <dimension ref="A1:D2"/>
  <sheetViews>
    <sheetView showGridLines="0" tabSelected="1" workbookViewId="0">
      <selection activeCell="A2" sqref="A2"/>
    </sheetView>
  </sheetViews>
  <sheetFormatPr defaultColWidth="9.109375" defaultRowHeight="14.4" x14ac:dyDescent="0.3"/>
  <cols>
    <col min="1" max="1" width="33.109375" style="2" customWidth="1"/>
    <col min="2" max="2" width="21.5546875" style="2" bestFit="1" customWidth="1"/>
    <col min="3" max="3" width="53.33203125" bestFit="1" customWidth="1"/>
    <col min="4" max="4" width="12.88671875" style="3" bestFit="1" customWidth="1"/>
    <col min="5" max="5" width="27.77734375" customWidth="1"/>
  </cols>
  <sheetData>
    <row r="1" spans="1:4" x14ac:dyDescent="0.3">
      <c r="A1" s="2" t="s">
        <v>13</v>
      </c>
      <c r="B1" s="2" t="s">
        <v>14</v>
      </c>
      <c r="C1" t="s">
        <v>15</v>
      </c>
      <c r="D1" s="3" t="s">
        <v>16</v>
      </c>
    </row>
    <row r="2" spans="1:4" x14ac:dyDescent="0.3">
      <c r="A2"/>
      <c r="B2" s="4"/>
      <c r="C2" s="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2E814-E1B5-486A-91A1-E01F565039A6}">
  <dimension ref="A1:D12"/>
  <sheetViews>
    <sheetView showGridLines="0" workbookViewId="0">
      <selection activeCell="D8" sqref="D8"/>
    </sheetView>
  </sheetViews>
  <sheetFormatPr defaultRowHeight="14.4" x14ac:dyDescent="0.3"/>
  <cols>
    <col min="1" max="1" width="53.33203125" bestFit="1" customWidth="1"/>
    <col min="2" max="2" width="21.5546875" style="2" bestFit="1" customWidth="1"/>
    <col min="3" max="3" width="20.33203125" style="2" bestFit="1" customWidth="1"/>
    <col min="4" max="4" width="11.6640625" style="1" bestFit="1" customWidth="1"/>
  </cols>
  <sheetData>
    <row r="1" spans="1:4" x14ac:dyDescent="0.3">
      <c r="A1" t="s">
        <v>9</v>
      </c>
      <c r="B1" s="2" t="str">
        <f>IFERROR(VLOOKUP(A1,[1]Planilha2!$A$3:$C$49,3,FALSE)," ")</f>
        <v>Alex47427486@</v>
      </c>
      <c r="C1" s="2" t="str">
        <f>IFERROR(VLOOKUP(A1,[1]Planilha2!$A$3:$C$49,2,FALSE)," ")</f>
        <v>47.427.486/0001-02</v>
      </c>
      <c r="D1" s="1">
        <v>302.09999999999997</v>
      </c>
    </row>
    <row r="2" spans="1:4" x14ac:dyDescent="0.3">
      <c r="A2" t="s">
        <v>0</v>
      </c>
      <c r="B2" s="2" t="str">
        <f>IFERROR(VLOOKUP(A2,[1]Planilha2!$A$3:$C$49,3,FALSE)," ")</f>
        <v>Claudio915881@</v>
      </c>
      <c r="C2" s="2" t="str">
        <f>IFERROR(VLOOKUP(A2,[1]Planilha2!$A$3:$C$49,2,FALSE)," ")</f>
        <v>35.286.622/0001-02</v>
      </c>
      <c r="D2" s="1">
        <v>302.09999999999997</v>
      </c>
    </row>
    <row r="3" spans="1:4" x14ac:dyDescent="0.3">
      <c r="A3" t="s">
        <v>1</v>
      </c>
      <c r="B3" s="2" t="str">
        <f>IFERROR(VLOOKUP(A3,[1]Planilha2!$A$3:$C$49,3,FALSE)," ")</f>
        <v>Edilson928</v>
      </c>
      <c r="C3" s="2" t="str">
        <f>IFERROR(VLOOKUP(A3,[1]Planilha2!$A$3:$C$49,2,FALSE)," ")</f>
        <v>928.878.994-49</v>
      </c>
      <c r="D3" s="1">
        <v>437.4</v>
      </c>
    </row>
    <row r="4" spans="1:4" x14ac:dyDescent="0.3">
      <c r="A4" t="s">
        <v>2</v>
      </c>
      <c r="B4" s="2" t="str">
        <f>IFERROR(VLOOKUP(A4,[1]Planilha2!$A$3:$C$49,3,FALSE)," ")</f>
        <v>Edi34832240@</v>
      </c>
      <c r="C4" s="2" t="str">
        <f>IFERROR(VLOOKUP(A4,[1]Planilha2!$A$3:$C$49,2,FALSE)," ")</f>
        <v>34.832.224/0001-74</v>
      </c>
      <c r="D4" s="1">
        <v>437.4</v>
      </c>
    </row>
    <row r="5" spans="1:4" x14ac:dyDescent="0.3">
      <c r="A5" t="s">
        <v>3</v>
      </c>
      <c r="B5" s="2" t="str">
        <f>IFERROR(VLOOKUP(A5,[1]Planilha2!$A$3:$C$49,3,FALSE)," ")</f>
        <v>091325Hhl*</v>
      </c>
      <c r="C5" s="2" t="str">
        <f>IFERROR(VLOOKUP(A5,[1]Planilha2!$A$3:$C$49,2,FALSE)," ")</f>
        <v>387.350.164-34</v>
      </c>
      <c r="D5" s="1">
        <v>437.4</v>
      </c>
    </row>
    <row r="6" spans="1:4" x14ac:dyDescent="0.3">
      <c r="A6" t="s">
        <v>10</v>
      </c>
      <c r="B6" s="2" t="str">
        <f>IFERROR(VLOOKUP(A6,[1]Planilha2!$A$3:$C$49,3,FALSE)," ")</f>
        <v>Genildo31380</v>
      </c>
      <c r="C6" s="2" t="str">
        <f>IFERROR(VLOOKUP(A6,[1]Planilha2!$A$3:$C$49,2,FALSE)," ")</f>
        <v>31.380.262/0001-52</v>
      </c>
      <c r="D6" s="1">
        <v>302.09999999999997</v>
      </c>
    </row>
    <row r="7" spans="1:4" x14ac:dyDescent="0.3">
      <c r="A7" t="s">
        <v>7</v>
      </c>
      <c r="B7" s="2" t="str">
        <f>IFERROR(VLOOKUP(A7,[1]Planilha2!$A$3:$C$49,3,FALSE)," ")</f>
        <v>3945F16s@</v>
      </c>
      <c r="C7" s="2" t="str">
        <f>IFERROR(VLOOKUP(A7,[1]Planilha2!$A$3:$C$49,2,FALSE)," ")</f>
        <v>314.064.298-99</v>
      </c>
      <c r="D7" s="1">
        <v>560.38</v>
      </c>
    </row>
    <row r="8" spans="1:4" x14ac:dyDescent="0.3">
      <c r="A8" t="s">
        <v>4</v>
      </c>
      <c r="B8" s="2" t="str">
        <f>IFERROR(VLOOKUP(A8,[1]Planilha2!$A$3:$C$49,3,FALSE)," ")</f>
        <v>Jose065784@</v>
      </c>
      <c r="C8" s="2" t="str">
        <f>IFERROR(VLOOKUP(A8,[1]Planilha2!$A$3:$C$49,2,FALSE)," ")</f>
        <v>26.297.322/0001-38</v>
      </c>
      <c r="D8" s="1">
        <v>437.4</v>
      </c>
    </row>
    <row r="9" spans="1:4" x14ac:dyDescent="0.3">
      <c r="A9" t="s">
        <v>5</v>
      </c>
      <c r="B9" s="2" t="str">
        <f>IFERROR(VLOOKUP(A9,[1]Planilha2!$A$3:$C$49,3,FALSE)," ")</f>
        <v>Arlindo123#</v>
      </c>
      <c r="C9" s="2" t="str">
        <f>IFERROR(VLOOKUP(A9,[1]Planilha2!$A$3:$C$49,2,FALSE)," ")</f>
        <v>418.156.978-06</v>
      </c>
      <c r="D9" s="1">
        <v>302.09999999999997</v>
      </c>
    </row>
    <row r="10" spans="1:4" x14ac:dyDescent="0.3">
      <c r="A10" t="s">
        <v>8</v>
      </c>
      <c r="B10" s="2" t="str">
        <f>IFERROR(VLOOKUP(A10,[1]Planilha2!$A$3:$C$49,3,FALSE)," ")</f>
        <v xml:space="preserve"> </v>
      </c>
      <c r="C10" s="2" t="str">
        <f>IFERROR(VLOOKUP(A10,[1]Planilha2!$A$3:$C$49,2,FALSE)," ")</f>
        <v xml:space="preserve"> </v>
      </c>
      <c r="D10" s="1">
        <v>302.09999999999997</v>
      </c>
    </row>
    <row r="11" spans="1:4" x14ac:dyDescent="0.3">
      <c r="A11" t="s">
        <v>11</v>
      </c>
      <c r="B11" s="2" t="str">
        <f>IFERROR(VLOOKUP(A11,[1]Planilha2!$A$3:$C$49,3,FALSE)," ")</f>
        <v>Wellington@123</v>
      </c>
      <c r="C11" s="2" t="str">
        <f>IFERROR(VLOOKUP(A11,[1]Planilha2!$A$3:$C$49,2,FALSE)," ")</f>
        <v>32.506.130/0001-97</v>
      </c>
      <c r="D11" s="1">
        <v>560.38</v>
      </c>
    </row>
    <row r="12" spans="1:4" x14ac:dyDescent="0.3">
      <c r="A12" t="s">
        <v>12</v>
      </c>
      <c r="B12" s="2" t="str">
        <f>IFERROR(VLOOKUP(A12,[1]Planilha2!$A$3:$C$49,3,FALSE)," ")</f>
        <v>Desouza2409@</v>
      </c>
      <c r="C12" s="2" t="str">
        <f>IFERROR(VLOOKUP(A12,[1]Planilha2!$A$3:$C$49,2,FALSE)," ")</f>
        <v>59.479.449/0001-27</v>
      </c>
      <c r="D12" s="1">
        <v>302.09999999999997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6DBE6-992E-4701-86A7-EDD0F5CE0093}">
  <dimension ref="A1:D1"/>
  <sheetViews>
    <sheetView showGridLines="0" workbookViewId="0">
      <selection activeCell="B12" sqref="B12"/>
    </sheetView>
  </sheetViews>
  <sheetFormatPr defaultRowHeight="14.4" x14ac:dyDescent="0.3"/>
  <cols>
    <col min="1" max="1" width="53.33203125" bestFit="1" customWidth="1"/>
    <col min="2" max="2" width="21.5546875" style="2" bestFit="1" customWidth="1"/>
    <col min="3" max="3" width="20.33203125" style="2" bestFit="1" customWidth="1"/>
    <col min="4" max="4" width="8.33203125" style="1" bestFit="1" customWidth="1"/>
  </cols>
  <sheetData>
    <row r="1" spans="1:4" x14ac:dyDescent="0.3">
      <c r="A1" t="s">
        <v>6</v>
      </c>
      <c r="B1" s="2" t="str">
        <f>IFERROR(VLOOKUP(A1,[1]Planilha2!$A$3:$C$49,3,FALSE)," ")</f>
        <v>Le@ndro7877</v>
      </c>
      <c r="C1" s="2" t="str">
        <f>IFERROR(VLOOKUP(A1,[1]Planilha2!$A$3:$C$49,2,FALSE)," ")</f>
        <v>32.258.189/0001-03</v>
      </c>
      <c r="D1" s="1">
        <v>221.56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TRANSPORTE</vt:lpstr>
      <vt:lpstr>PREFEITURA</vt:lpstr>
      <vt:lpstr>PEDAGIO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Scarlet Martins</dc:creator>
  <cp:lastModifiedBy>Thiago Mesquita</cp:lastModifiedBy>
  <dcterms:created xsi:type="dcterms:W3CDTF">2025-02-24T19:37:44Z</dcterms:created>
  <dcterms:modified xsi:type="dcterms:W3CDTF">2025-02-25T19:05:58Z</dcterms:modified>
</cp:coreProperties>
</file>